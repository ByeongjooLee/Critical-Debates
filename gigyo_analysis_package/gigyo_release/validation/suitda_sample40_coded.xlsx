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d8bdbe580742ba7b/문서/대학원 공부/박사이후 논문 투고/담론분석 선행연구/gigyo_analysis_package/gigyo_release/output/"/>
    </mc:Choice>
  </mc:AlternateContent>
  <xr:revisionPtr revIDLastSave="42" documentId="8_{4FFF5607-C332-4D3C-A757-FDBB96FF2966}" xr6:coauthVersionLast="47" xr6:coauthVersionMax="47" xr10:uidLastSave="{4DFAB674-F7D7-4779-8252-E93ABA3587D1}"/>
  <bookViews>
    <workbookView xWindow="4155" yWindow="3540" windowWidth="28800" windowHeight="15345" activeTab="1" xr2:uid="{00000000-000D-0000-FFFF-FFFF00000000}"/>
  </bookViews>
  <sheets>
    <sheet name="지침" sheetId="1" r:id="rId1"/>
    <sheet name="표본40" sheetId="2" r:id="rId2"/>
    <sheet name="집계(BHR추정)"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3" l="1"/>
  <c r="G7" i="3"/>
  <c r="H7" i="3" s="1"/>
  <c r="I7" i="3" s="1"/>
  <c r="K7" i="3" s="1"/>
  <c r="J6" i="3"/>
  <c r="G6" i="3"/>
  <c r="H6" i="3" s="1"/>
  <c r="I6" i="3" s="1"/>
  <c r="K6" i="3" s="1"/>
  <c r="J5" i="3"/>
  <c r="G5" i="3"/>
  <c r="H5" i="3" s="1"/>
  <c r="I5" i="3" s="1"/>
  <c r="K5" i="3" s="1"/>
  <c r="L5" i="3" l="1"/>
  <c r="L6" i="3"/>
  <c r="L7" i="3"/>
  <c r="D11" i="3" l="1"/>
  <c r="D10" i="3"/>
</calcChain>
</file>

<file path=xl/sharedStrings.xml><?xml version="1.0" encoding="utf-8"?>
<sst xmlns="http://schemas.openxmlformats.org/spreadsheetml/2006/main" count="325" uniqueCount="169">
  <si>
    <t>'수 있다' 완화 판정 — 40개 표본 코딩지 (자기 진단용)</t>
  </si>
  <si>
    <t>이것은 전수 검증이 아니라, '의미를 제대로 구분하면 BHR이 밴드 어디쯤 떨어지는가'를</t>
  </si>
  <si>
    <t>가늠하기 위한 층화 무작위 표본(임화 20·김기림 10·박용철 10, 시드 42)이다.</t>
  </si>
  <si>
    <t>본문 근거로 쓰려면 제2 코더 + 일치율(κ)이 따로 필요하다(이 표본만으론 부족).</t>
  </si>
  <si>
    <t>[판정 기준]  각 용례를 완화 / 비완화 / 보류 중 하나로(드롭다운).</t>
  </si>
  <si>
    <t xml:space="preserve">  · 완화   — 화자가 명제 확신을 누그러뜨림. '아마/~일지도'로 바꿔도 통한다.</t>
  </si>
  <si>
    <t xml:space="preserve">            예) '~라고 할 수 있다'(판단 유보), '그럴 수 있다', '~일 수 있다'</t>
  </si>
  <si>
    <t xml:space="preserve">  · 비완화 — (능력) '표현할 수 있다'=할 능력이 있다 / (제시) '~을 볼 수 있다'=관찰된다(사실 진술)</t>
  </si>
  <si>
    <t xml:space="preserve">  · 보류   — 문맥으로도 판단 불가(집계에서 비완화로 처리되니 가급적 결정).</t>
  </si>
  <si>
    <t>[쟁점] '볼 수 있다'(제시)를 완화로 볼지 비완화로 볼지는 이론이 갈린다.</t>
  </si>
  <si>
    <t xml:space="preserve">  당신의 일관된 입장이 곧 코딩 기준이 된다. 문단 전체를 읽고 판단하라.</t>
  </si>
  <si>
    <t>[사용법]</t>
  </si>
  <si>
    <t xml:space="preserve">  1. [표본40] 시트의 '문단' 열을 읽고(【 】안이 대상 표현) H열 '판정'에 입력.</t>
  </si>
  <si>
    <t xml:space="preserve">  2. [집계] 시트에서 표본 완화비율로 BHR 추정이 실시간 갱신된다.</t>
  </si>
  <si>
    <t xml:space="preserve">  3. 전부 완화→R0(현행), 전부 비완화→R3. 경계는 정확, 중간은 표본 추정(소표본 주의).</t>
  </si>
  <si>
    <t>ID</t>
  </si>
  <si>
    <t>비평가</t>
  </si>
  <si>
    <t>출처(텍스트)</t>
  </si>
  <si>
    <t>문단 (【 】=판정 대상)</t>
  </si>
  <si>
    <t>「수 있-」</t>
  </si>
  <si>
    <t>앞 서술어</t>
  </si>
  <si>
    <t>자동분류(참고)</t>
  </si>
  <si>
    <t>판정</t>
  </si>
  <si>
    <t>메모</t>
  </si>
  <si>
    <t>박용철</t>
  </si>
  <si>
    <t>효과주의적 비평론강</t>
  </si>
  <si>
    <t>그래 작품을 읽은 독자는 거기서 어떠한 인상을 받어 얼마큼 심정에 변화를 일으켜서 그는 그 달라진 심정을 가지고 달라진 태도로써 모든 사회적활동에 참가하야 전사회가 그영향을 받을것이다. 그러면 그 사회의 전상태와이는 그 작품의 영향엑스로 말미암아 와이 더하기 엑스는 와이프라임의 변화를일으켰다고 볼수있다. 예술은 은밀한 가운데 우리 생활의 모든 방면에 영향을 끼친다. 우리의 판별력으로 그것을 【측정할수있고】 없는 문제는 있으나 한개의 예술적 작품의 효과는 간접 다시 간접으로 우리의 생활에 작용하야 우리의 정치, 경제, 사상, 과학, 종교가 다 그 영향을 입었다고 할수있다. 실로 그것은 사회의 호수에 더져진 한개의 돌멩이다. 우리가 어떤 인물의 정치적행동을 논평할때는 암묵리에 이러한 방법을 사용한다.</t>
  </si>
  <si>
    <t>측정할수있고</t>
  </si>
  <si>
    <t>측정할</t>
  </si>
  <si>
    <t>양가(?)</t>
  </si>
  <si>
    <t>기교주의설의 허망</t>
  </si>
  <si>
    <t>오해는 여기서 출발한다. 임화씨가 김씨의 『수년래 기교주의가 왕성해졌다』는 진단을 그냥 답습한데 근본적착오가있다. 김씨는 『시의진보』를 주장보는 시론이므로 선구적징후만으로도 그왕성을 【논할수있다】. 그러나 임화씨가 프로시의 쇠미와 기교파의 번영을 탄하는 그번영쇠미는 다분히 상업주의적 용어다. 우리가 대체──로라자칭하는 부원의수나 확득한 문학청년의수로 그예술의 영쇄를 논해 무엇할것인가. 일인이라도 비교적 우수한시를 창작하는 프로시인이 있다면 그것은 우수한시를 생산치 못하는 카프시 부원 백인보다 번영할것이 아닌가. 우수한작품이라는 시점을 떠난 모든 예술론이란 전혀 허무한것이다.</t>
  </si>
  <si>
    <t>논할수있다</t>
  </si>
  <si>
    <t>논할</t>
  </si>
  <si>
    <t>임씨는 『우리시단일방의 가장왕성한주류로서 수삼년래 번영하고있는 소위 『기교파』의 시를 발견할수가있다』고하고『지금새삼스러웁게 까다롭게 기교주의라고 불려지는 시단의유령』 이라고하며 기교주의라는명사를 이미 일반으로 통용되는 한개 자명의개념으로 취급하고 있지마는 그것은 조선시사에서는물론, 일반 문학수상에있어서도 그구체적인 생활역사를가진 개념이 아니다. 그러므로 이러한 개념을 새로히 설정하는것은 그것이 사물의 본질을 역력히 【들어낼수있기위한것이요】 그창시자는 그내용과 외포에대한 엄밀한규정을 가질 의무를 스사로 저야할것이다.</t>
  </si>
  <si>
    <t>들어낼수있기위한것이요</t>
  </si>
  <si>
    <t>들어낼</t>
  </si>
  <si>
    <t>제시(비완화?)</t>
  </si>
  <si>
    <t>대체로 언어란 조잡한 인식의산물이다. 흔히는 우리가 간단히 감지할수있는것 볼수있는것 드를수있는것 만질수있는것 용이하게 【사고할수있는것에서】 추상되여 오고 있다. 우리는 원시로부터 지금까지 모든것을 축적해왔다하지마는 우리의 평균재보란 극히 빈약한것과 마찬가지로 우리의 공통인식능력이란 극히 저급인것이다. 교통수단인 언어는 이 공통인식에 그불발의 근기를 박고있다. 이것은 최대공약수와같이 왜소하면서 또 평균점수와 같이 아모하나에게도 정확히 적합하지는 않는다. 우리가 조금만 미세한 사고를 발표할때는 그표현에 그리 곤란을 격지않는 경우에도 표현의 뒤에 바로 그 표현과 생각과의간의 오차를 느낀다.</t>
  </si>
  <si>
    <t>사고할수있는것에서</t>
  </si>
  <si>
    <t>사고할</t>
  </si>
  <si>
    <t>대체로 언어란 조잡한 인식의산물이다. 흔히는 우리가 간단히 감지할수있는것 볼수있는것 【드를수있는것】 만질수있는것 용이하게 사고할수있는것에서 추상되여 오고 있다. 우리는 원시로부터 지금까지 모든것을 축적해왔다하지마는 우리의 평균재보란 극히 빈약한것과 마찬가지로 우리의 공통인식능력이란 극히 저급인것이다. 교통수단인 언어는 이 공통인식에 그불발의 근기를 박고있다. 이것은 최대공약수와같이 왜소하면서 또 평균점수와 같이 아모하나에게도 정확히 적합하지는 않는다. 우리가 조금만 미세한 사고를 발표할때는 그표현에 그리 곤란을 격지않는 경우에도 표현의 뒤에 바로 그 표현과 생각과의간의 오차를 느낀다.</t>
  </si>
  <si>
    <t>드를수있는것</t>
  </si>
  <si>
    <t>드를</t>
  </si>
  <si>
    <t>대체로 언어란 조잡한 인식의산물이다. 흔히는 우리가 간단히 감지할수있는것 【볼수있는것】 드를수있는것 만질수있는것 용이하게 사고할수있는것에서 추상되여 오고 있다. 우리는 원시로부터 지금까지 모든것을 축적해왔다하지마는 우리의 평균재보란 극히 빈약한것과 마찬가지로 우리의 공통인식능력이란 극히 저급인것이다. 교통수단인 언어는 이 공통인식에 그불발의 근기를 박고있다. 이것은 최대공약수와같이 왜소하면서 또 평균점수와 같이 아모하나에게도 정확히 적합하지는 않는다. 우리가 조금만 미세한 사고를 발표할때는 그표현에 그리 곤란을 격지않는 경우에도 표현의 뒤에 바로 그 표현과 생각과의간의 오차를 느낀다.</t>
  </si>
  <si>
    <t>볼수있는것</t>
  </si>
  <si>
    <t>볼</t>
  </si>
  <si>
    <t>오해는 여기서 출발하였었다. 임화씨의 기교주의설이 김기림씨의 이 일편의 시사의 해석을 그유일한 원본으로하고 그것을 그냥 답습하고 있는것은 그 언언절절에서 가히 【규찰할수있다】.</t>
  </si>
  <si>
    <t>규찰할수있다</t>
  </si>
  <si>
    <t>규찰할</t>
  </si>
  <si>
    <t>또한가지 이논문의 몽매한점은 김기림씨자신의시가 자신의규정한 기교주의에 속하는가 아닌가에 대한 명확한 표시가 없고 그밖에 조선시단상에 나타난 사실을 이름지어 지적하지아니한것이다. 그러나 김씨가 그이전의 제시론에서 행한 낭만주의공격이나 감정의 부정설등으로 보아 적어도 자신의 과거를 기술주의자로 규정한 것으로 우리는 임화씨와 함께추측해서 무방할것이다. 그러고 이경향의 시단적구현으로는 거저 막연하게 기교를 심히 중시한다는 정도의 시인을 지칭한것이아니라 (기교를 중시하지아니한 예술가가 언제 어디 【존재할수 있었는가】!) 슈─르·리얼리즘이후의 서구의 신시단풍의 직접영향아래 의식적으로 새로운 시의 창작을 향하는 수씨를 의미한 것일것이다.</t>
  </si>
  <si>
    <t>존재할수 있었는가</t>
  </si>
  <si>
    <t>존재할</t>
  </si>
  <si>
    <t>을해 시단 총평</t>
  </si>
  <si>
    <t>내가 이시를 해설하므로 보충하려는것이 이러한감상의미달이다. 그가 이시를 쓴것은 그가 비애의절정에서서 그의심정이 민광하려든때이다. 그는 그의 사랑하는 어린아들을 잃은것이다 그러므로 호변적인 시인이면 이런때 당연히 아―내사랑하는 아들아 너는갔느냐 갔느냐 내일에 피여나는 힘과 젊음을 약속하는 아모 티와 흠없는 조고만 몸아 이것이 【믿을수있는】 일이냐 네가 비록 여기 차게 누었을지라도 너의 손은 고대 나를 잡을것같다. 너의 어머니의 사랑이오 나의 기쁨인 아가야 네가 참으로 갔느냐 오―나의 찌여지는 가슴! 당연히 이렇게 시작 하였을것이다. 그러나 시인정지용은 아마 죽여도 이렇게 애호하고 호소하려하지 아니할것이다. 그는 이러한 생생한 감정을 직설적으로 노출하는것보다는 그 민민한 정을 그냥 씹어삼키려했을것이다. 그래서 그는 좁은방 키와나란한 들창에 붙어서서 밖에 어둔밤을 내다보며 입김을 흐리고 지우고 이렇게 작난에 가까운일을하는것이다. 유리에 입김과 어둠과 먼별이 그의 감각에 미묘한 반응을이르킨다. 이때에 문득 진실로 문득 방황하든 그의 전감정이쏠려와서 유리에 정착이된다.</t>
  </si>
  <si>
    <t>믿을수있는</t>
  </si>
  <si>
    <t>믿을</t>
  </si>
  <si>
    <t>이 논문의 의도하는바는 우리가 충분히 【짐작할수는있지마는】 필자의 의견으로는 이곳에 기교주의라는 명사를 채용한것은 타당치않다. 브레몽사의 논설한 순수시론은 기교주의의 명칭아래 총괄될수없는 성질의것이요 인쇄된 형태를 망시하는 형태시는 시의 중요한 본질을 건드리는 문제는 아닐것 같다. 그러고 근대시의 가장 중요한 일계류인 『슈─르·리얼리즘』을 기교주의라고 정의하기는 불가능한일이다. 그것은 자동기술같은 그수법이 표시하는것과같이 순수내용주의인 일면을 가지고 있는것이다. 그러므로 김씨의논제는 김씨의 목적을 위하여서라도 순수화운동이라거나 기타의 더욱타당한 명사를 띠웠드면 무단한 혼란을 야기하지아니했을것이다.</t>
  </si>
  <si>
    <t>짐작할수는있지마는</t>
  </si>
  <si>
    <t>짐작할</t>
  </si>
  <si>
    <t>임화</t>
  </si>
  <si>
    <t>언어의 마술성</t>
  </si>
  <si>
    <t>보는 바와 같이 우리는 조선문학 가운데 조선어에 대한 태도에 있어 이삼의 상이한 부분을 【발견할 수 있다】. 춘원 이라든가 야담 으로 돌아서는 김동인 , 윤백남 등이라든가 육당 , 이병기 , 정인보씨 등의 시조작가 들이 어떠한 조선어를 문학창작상에 선택하는가를 특징적이다. 말할것도 없이 씨 등에 있어서는 가장 노골히 복고주의 로 나타나 진부한 고어 를 강제 하고 사어 발굴 등에 열중하고 있다. 물론 특별한 의미에서는 고어 , 사어 등의 과학적, 체체적 연구 는 조선어 의 독자적 발전상 유익한 것이나 아이들에 있어서는 그냥 독자에게 기억을 강요하고, 모든 가치있는 신어 는 거부되어, 오로지 아이들의 언어는 전통주의 사상을 설명함에 적응할 뿐이다.</t>
  </si>
  <si>
    <t>발견할 수 있다</t>
  </si>
  <si>
    <t>발견할</t>
  </si>
  <si>
    <t>33년을 통하여 본 현대 조선의 시문학</t>
  </si>
  <si>
    <t>다음 작년도 부르시 문단에서 화형의 총애를 받던 여류시인 모윤숙 씨에 대하여 일언하고자 한다. 엄밀하게 말하면 조선의 라우두 되려는 이 분은 김상용 등으로부터 조금도 경향적으로 구별되는 것은 아니다. 오직 무제 의 작자보다 풍정과 정서의 여성적 섬세가 있고, 전자 등의 가끔 가다가 현대적 테마를 노래하려는 경향을 【볼 수 있음에】 반하여, 이 시인에 있어서는 모든 것이 잃어진 과거 에 대한 보답되지 않는 원망의 공상과의 관련 밑에서 불러지고 있다는 점이다. 예 략</t>
  </si>
  <si>
    <t>볼 수 있음에</t>
  </si>
  <si>
    <t>다음에 김상용의 시에 이르러서는 참으로 편석촌의 말과 같이 아마추어와 시인의 경계를 찾을 수 없을 만치 졸렬히 표현되고 있다. 이 시인에 있어는 그의 시조 영역에서 【볼 수 있는】 것과 같은 민족적 애의 열성은 있을지 모르나 시적 천분이 아직 자신의 시를 찾아온 것 같지는 않다.</t>
  </si>
  <si>
    <t>볼 수 있는</t>
  </si>
  <si>
    <t>그러므로 편석촌의 시에서 보는 바와 같이 시가에 있어 개인적 사회적임을 물론하고 성격적 정서가 없고, 공허한 장식, 고독한 감수, 신비화된 물질성과 말초적 신기의 추구, 경기구와 같은 위트, 그 가운데에서 표시되는 시인 자신의 정신적 자기 표시밖에는 없는 것이다. 그의 시 유람자동차 에서 가장 특징적으로 【볼 수 있는】 것과 같이, 작자는 현실에 대하여 풍속잡지적 흥미, 유람버스 승객 이상의 관찰을 하려고 하지 않는다. 이것이 그의 지적 핵심이 아닌가 나는 생각된다. 이 시인은 현실의 본질적 과정이나 모든 사물의 핵심에는 조금도 관여하고자 아니하고 오직 사물의 표면에 맺힌 이슬 을 애무 는 것으로서 만족하며, 또한 그것을 향락하는 것이 그의 최고의 시적 정취인 것 같다. 이러한 경향에 의하여 우리의 근대 부르주아 시가는 점점 무의미한 언어 의 나열로 퇴보하고 있는 것은 이제는 더 은폐할 수가 없을 것이다.</t>
  </si>
  <si>
    <t>낭만적 정신의 현실적 구조</t>
  </si>
  <si>
    <t>그리고 양자의 범주가 최대한의 명확성을 가지고 대립된 것도 시민의 문학이며, 양자를 다같이 그 독자적 특성 위에서 실현해 본 것도 시민의 사회였다. 즉 이 시대의 문학 이외에 어떠한 시대의 문학도 이만큼 명확히 사실적인 것과 낭만적인 것이 대위적으로 최대한도에서 대립된 예는 없는 것이다. 그러므로 신화, 구비의 원시적 문학에서 【볼 수 있는】 사실과 낭만의 불분명한 상호관계로부터 십팔, 구세기의 낭만주의적, 사실주의적 문학이 도달한 과정은 의심할 것도 없이 문학의 발전과 자기 완성의 오랜 과정이다. 이 기초에는 고대사회로부터 자본주의 사회로 이르기까지에 전진화의 역사가 가로 놓여 있는 것이다.</t>
  </si>
  <si>
    <t>담천하의 시단 일년</t>
  </si>
  <si>
    <t>이러한 길을 통하여서 한개 미미한 시인의 명예는 전 계급적일 수가 있으며 계급적 명예는 전 민족적, 【국민적일 수가 있으며】 그것은 곧 전 인류적일 수가 있는 것이다. 이 이외에 지금 또 별개의 시인인 명예가 있을 수가 있다면 그것은 의심할 것도 없이 허위의 명예일 것이며, 진실한 시인적 영예로부터는 훨씬 먼 거리의 것이 아니면 안된다. 그러나 우리들의 시인의 명예 가운데 얼마나 이 허위의 명예가 많은 것일가?</t>
  </si>
  <si>
    <t>국민적일 수가 있으며</t>
  </si>
  <si>
    <t>국민적일</t>
  </si>
  <si>
    <t>예술적 인식과 표현수단으로서의 언어</t>
  </si>
  <si>
    <t>그 위에 건듯 봄바람이 부러 라든가 비바람이 모라처와 라든가 후덥지근한 맛파람이 불더니 등은 바람에 대하여 우리들의 피부가 감관 이 느낄 수 있는 변화의 미묘한 세부까지를 알아낼 수가 있고 표현할 수 있음을 이야기 한다. 즉 한 개의 말은 기분, 정서 등 우리가 항용 【형용할 수 있다는】 모든 과정을 인지 하고 표출하는 유일의 수단이다. 대외적 감각으로부터 주관적 표현에 이르기까지 사유 가 수행하는 모든 기능은 언어의 형식으로써만 가능한 것이다.</t>
  </si>
  <si>
    <t>형용할 수 있다는</t>
  </si>
  <si>
    <t>형용할</t>
  </si>
  <si>
    <t>파인에 있어만 해도 비록 그것이 기다의 과거적 생활과의 관련을 가졌었음에도 그래도 당대 현실적 생활의 일부를 정열을 가지고 노래하였음에 반하여, 삼천리 지에 간혹 발표되는 몇 개의 시편, 특히 수표교반음 등의 비정 한 시에서는 우리는 전혀 골동화한 과거적 유물에 대한 공허한 동경과 헛된 탄식만이 남아 있는 것을 【볼 수 있을】 것이다. 국경의 밤 시대의 제작에 비할 때 파인의 근작은 전혀 바람 빠진 공 이외에 아무것도 아니다.</t>
  </si>
  <si>
    <t>볼 수 있을</t>
  </si>
  <si>
    <t>볼 수가 있다</t>
  </si>
  <si>
    <t>위대한 낭만정신</t>
  </si>
  <si>
    <t>따라서 이 낭만주의는 새 리얼리즘이라고 불리는 문학의 불멸의 내용이고 그 빛나는 일면이다. 이것은 아마도 한편으로서는 신 로맨티시즘 이라고 불려질 것으로 리얼리즘 가운데 시를 존재케 하는 것이다. 그러므로 이것은 분명히 당파적이다. 왜 그러냐 하면 현존에 있어 당파적인 문학만이 미래에 있어 비당파적 ── 전인류적 공감 가운데 【설 수 있으므로】……. 공간적으로만 아니라 우리의 문학은 시간적으로 보편적이라고 한다.</t>
  </si>
  <si>
    <t>설 수 있으므로</t>
  </si>
  <si>
    <t>설</t>
  </si>
  <si>
    <t>시민적 문학으로서 가능한 달성이란, 첫째 시민계급이 사회생활에서 표준어 ── 근대적 통일어 ── 를 획득할 지위에 있어야 하는 것이고, 또 표준어의 확립 없이는 개개의 작가의 개척도 비통일적 분산적이어서 어떤 작가도 보다 소시민적이고, 또 인테리적이며 때로 봉건 농민적으로 개별화 되는 것이다. 상섭 , 춘원 , 소월 등은 전기 의 계급의 언어상의 영향을 개별적으로 받었다고 【볼 수 있는】 것으로, 이것은 언어의 혼란을 그대로 반영하고 있음이다. 그러므로 조선어의 완미 한 문학적인 개화 는 전일 별고 에서 말한 바와 같이 차세대 의 문학, 새 문학에 부가되어 있는 것으로 그 임무는 시민문학 이 해결해야 할 것까지 이중으로 가지고 있는 형편이다.</t>
  </si>
  <si>
    <t>동시에 중요한 것은 과거의 리얼리즘이 몰아적 객관주의로 말미암아 도달치 못한 객관적 현실의 진실한 자태를 【파악할 수 있다】. 고정된 표면적인 것만을 묘사하는게 아니라, 현실을 그 발전에 있어서 본질적인 제관계에서 파악하는 것이다. 그러므로 진실한 낭만적 정신 ── 낭만적 정신 ── 역사주의적 입장에서 인류사회를 광대한 미래로 인도하는 정신이 없이는 진정한 사실주의도 또한 불가능한 것이다.</t>
  </si>
  <si>
    <t>파악할 수 있다</t>
  </si>
  <si>
    <t>파악할</t>
  </si>
  <si>
    <t>언어의 현실성</t>
  </si>
  <si>
    <t>그러므로 우리는 어느 작가의 형식상 개인적인 특징이라 볼 수 있는 것도 그의 작품의 내용상의 것과 일정한 관계 하에서 관찰하는 것이며, 실제로 문학사상 의 특정한 형식상유파 라는 것이 외견상의 형식적 유사 뿐만이 아니라. 내용이 이르러서도 일정한 근사 된 관련을 가지고 있었음을 볼 수가 있는 것이다. 이러한 여러 사실은 곧 문학의 형식, 또 그 가장 외견적 부분인 언어의 특색이 반드시 내용이라고 불러지는 소재와 사상이 갖는 제약성의 한 개의 연장이라고 볼 수 있는 것이며, 반대로는 언어상 또 형식적인 어떠한 특색의 면밀한 관찰이 그 작품의 의미하는 내용상 제부분 에까지 투입할 가능성을 주는 것이라고 【믿을 수가 있다】.</t>
  </si>
  <si>
    <t>믿을 수가 있다</t>
  </si>
  <si>
    <t>보는 바와 같이 이곳에는 완전한 동의어를 논리상의 기교로 이분하고 있다. 그리하여 기교주의란 예술지상주의와 같이 그렇게 진부한 것이 아니라 아직 무슨 방법으로이고 현실과 관련하고 또 예술적으로 【구출될 수 있는】 가능성이 남어 있는 것과 같은 암시를 주고 있다. 그리하여 이것을 전전대의 모든 시가로부터 구별되는 하나의 예술상의 진보적 성질의 반항으로서 적극적인 의의를 부여한다.</t>
  </si>
  <si>
    <t>구출될 수 있는</t>
  </si>
  <si>
    <t>구출될</t>
  </si>
  <si>
    <t>이러한 제 관계는 말할 것도 없이 전반적으로 이곳의 문학적 생산품의 위에 안개와 같이 씌워져 있는 것이나, 이 가운데를 철근과 같이 관철하고 있는 중심적 경향은 대개 다음의 두 가지로 【나눌 수가 있다】.</t>
  </si>
  <si>
    <t>나눌 수가 있다</t>
  </si>
  <si>
    <t>나눌</t>
  </si>
  <si>
    <t>기교파와 조선시단</t>
  </si>
  <si>
    <t>나는 서정시라는 것이 영혼의 감동 을 노래하는 것이라든가, 감정은 다만 하나의 온전한 상태 이라든가, 그 자체는 말을 갖지 않었다 든가, 상태감정은 반드시 어떠한 형체에 태어난 그 표현을 달성한다 든가 하는 신비적이고, 계시적인 영감에 의한 시작설을 믿을 수는 없다. 씨에 의하면, 시는 고귀한 영혼 만이 【감지할 수 있는】 세계이고, 시란 한개의 마술 이라 한다.</t>
  </si>
  <si>
    <t>감지할 수 있는</t>
  </si>
  <si>
    <t>감지할</t>
  </si>
  <si>
    <t>사실주의의 재인식</t>
  </si>
  <si>
    <t>이러한 퇴화·정체는 설야 씨의 소설 태양 임금 후미끼리 등 일련의 작품에서도 【인정할 수 있는】 것으로 새로운 관조주의와 아울러 낡은 공식주의의 잔재가 혼합되어 있다. 예하면 소설 후미끼리 임금 등에선 노동에 대한 무원칙적 찬미라는 낡은 사상과 아울러 명백히 소시민화하고 있는 주인공의, 생활 과정이, 그가 인간적 성실을 다시 찾고 인간의 생활 속에로 들어간다는 외형만이, 전 사회 운동자의 전형적 갱생 과정처럼 취급되어 있는 데서 적례를 볼 수 있다. 이 소설은 우리의 주관이 양심과 성실과를 잃지 않았다고 자부함에 불구하고 객관적으론 알지 못하게 나락의 구렁으로 이끌려가는 과정이 반대의 관점에서 형상화되어 작품은 전체로 전도된 모티브 위에 구성되어왔다. 이 전도 가운데 작자의 양심적 주관은 공식주의로서 나타나고 작품에 그려진 온갖 사실을 표면적으로 긍정하는 데서 작자는 명백히 관조주의자이었다.</t>
  </si>
  <si>
    <t>인정할 수 있는</t>
  </si>
  <si>
    <t>인정할</t>
  </si>
  <si>
    <t>왕왕 우리나라의 순수예술의 옹호자라고 스스로 인정하는 이들은 비평이란 것을 한 개의 한일한 독후감이나, 인상의 설화로 생각하는 습관을 가지고 있음을 【볼 수 있다】. 비평이 시인을 원조하는 것이 결코 단순한 찬사에 있지 않고, 때로는 시인의 그릇됨을 지적하여 시정의 길을 지시하고, 나아가서는 개개의 시인 뿐만 아니라 모든 시인이 개척해야 할 일반적 방향을 가르치기도 하는 것이다. 이러한 것이 시인과 비평이 그것의 발전을 위하여 협동하는 형태인가 한다.</t>
  </si>
  <si>
    <t>볼 수 있다</t>
  </si>
  <si>
    <t>그러나 우리가 섹트적 한계나 조그만 자존심이란 것을 떠나 경향 문학의 역사적 발전, 신 리얼리즘이 요구하는 구체적인 입장에서 씨 등의 작품을 거듭 읽어볼 때 상기한 제씨가 내린 판단에 간단하게 서명할 수는 없다. 오히려 차등의 비평이 문학적 평가의 실제에 있어 비상히 기민치 못하고 역사적 전망에 있어 우매하며 한갓 작품의 뒤를 추수하고 있다는 다른 한 개의 사실 앞에 직면하게 되는 것이 엄숙한 사실이 아닌가 한다. 숭어 등 엄씨의 최량의 소설을 통하여 우리는 경향 문학의 이전 수준으로부터의 하등의 전진을 발견할 수 없을뿐더러 사상적 수준에 있어 신경향파 시대의 원시주의로 퇴화하고 있음을 【볼 수가 있다】.</t>
  </si>
  <si>
    <t>그들은 현실적 제 과정에 대하여 과학적인 인식을 하고 있지 못하고 또 그들 자신이 명확히 역사적 사회적 실천의 대하 가운데 발을 꽂고 서 있지 못한 때문에, 그들의 시가는 자본주의 이전의 감정으로 충만되고 왕왕 도시나 근대 과학 문명에 한 기피적 태도까지를 【표명하는 수가 있으며】, 현실을 실증적으로 관념하는 대신에 생활과 역사를 상상하고 추상하는 것으로, 그들은 미래를 노래하고 또는 금일의 현실에 대하여 부정적인 것이다. 김해강, 조벽암 등의 시작이 상당히 높은 열을 가지고 미래에 대한 확신이나 승리 등을 노래하는데도 그것이 확적히 사람의 가슴을 두드리지 않고 공소와 같이 들리는 것은 그들의 시를 생활의 정서에 의하여 노래하지 않고 상상의 음향으로 전하려는 때문이다. 이 상상은 동시에 시를 힘있게 하기 위하여 일부러 과대한 형용, 신비적인 장엄한 어구 등으로 시를 유장하게 하며 템포를 느리게 하고 음향을 교향악적으로 만들려고 개념의 세계를 까닭 없이 스케일을 확대하는 것이다.</t>
  </si>
  <si>
    <t>표명하는 수가 있으며</t>
  </si>
  <si>
    <t>표명하는</t>
  </si>
  <si>
    <t>김기림</t>
  </si>
  <si>
    <t>과학과 비평과 시</t>
  </si>
  <si>
    <t>조만간 시대는 질서를 회복해야 했다. 크레뮤 도 그렇게 말하고 리드 도 그렇게 말했다. 질서는 어떻게 회복할까. 문제는 공통되면서도 해답은 아무도 잘 몰랐다. 성급한 사람들 가령 마리탱 같은 사람은 중세기의 부활을 해답으로 제출하였다. 파시즘 은 이러한 역사의 균열을 가장 교묘하게 이용했다. 질서는 오직 신학적인 형이상학적인 선사 이래의 낡은 전통에 선 세계상과 인생태도를 버리고 그 뒤에 과학 위에 선 새 세계상을 세우고 그것에 알맞은 인생태도를 새 모랄 로서 파악함으로써만 【얻을 수 있었던】 것이다. 그것은 물론 쉬운 일은 아니었다. 허나 그것은 벌써 형벌이 아니었다. 희망이었다. 그러함으로써 우리는 역사의 전통에서 시인의 발언이 한 커다란 진폭 을 가지고 울리는 것을 다시 들을 수 있었을 것이다. 시인은 비로소 아무 기적도 신들의 이름도 그 속에서 구경할 수 없는 이십세기의 신화를 쓸 수 있었을 것이다.</t>
  </si>
  <si>
    <t>얻을 수 있었던</t>
  </si>
  <si>
    <t>얻을</t>
  </si>
  <si>
    <t>김기림_시에 있어서의 기교주의의 반성과 발전</t>
  </si>
  <si>
    <t>그런데 근대시의 이러한 순수화이 경향은 항상 기교주의의 방향을 더듬어 온 것은 주목할 일이다 나는 이제 여기서 기교주의의 내용을 규정하지 않으면 안되겠다. 이 말은 시의 가치를 기술을 중심으로 하고 체계화하려고 하는 사상에 근저를 둔 시론을 지적한 것이다. 그러나 낡은 예술을 위한 예술 론이라든가, 이스태티시즘 , 혹은 예술지상주의와는 엄연하게 구별되어야 한다. 즉 예술지상주의는 차라리 윤리학의 문제에 속하나 기교주의는 순전히 미학 권내의 문제다 . 조선에 있어서의 기교주의, 혹은 시의 순수화의 기도 등은 물론 한 운동의 형태를 갖춘 일도 없고 그렇게 뚜렷하게 일반의 의식에 떠오르지 못했다. 그러나 우리는 삼십년대 전반기를 통하여 이것을 개별적으로는 얼마간이고 【지적할 수가 있고】 또한 한 경향으로서도 우리가 추상할 수가 있었다고 생각한다. 이 기운이 유래하는 내부적 동기에 대하여서는 이미 말하였고 전술한 선진제국의 새로운 시운동의 영향도 지적할 수가 있다.</t>
  </si>
  <si>
    <t>지적할 수가 있고</t>
  </si>
  <si>
    <t>지적할</t>
  </si>
  <si>
    <t>(시론사)상아탑의 비극 (p.304)</t>
  </si>
  <si>
    <t>그렇지만 이 문제는 다른 곳에서 논의할 기회를 가질 수 있을 것이다. 다만 한가지만 가장 확신을 가지고 【말할 수 있는】 것은 우리들의 앞에 놓여있는 큰 화제 는 이것이다. 집단과 그 생활 . 이곳에는 시네마 의 영역이 무한히 크다.</t>
  </si>
  <si>
    <t>말할 수 있는</t>
  </si>
  <si>
    <t>말할</t>
  </si>
  <si>
    <t>대체 그들은 시의 어디서 뛰어난 시적 사고를 발견했느냐. 우수한 시적 표현의 완성은 더군다나 찾을 수가 없다. 이러한 소박하고 원시적인 사고와 병립하여 시의 빈곤을 더욱 초래하는 데 힘이 된 것은 관념주의다. 그것은 한 개의 학설이나 사상이 그대로 시가 【될 수 있는】 거서럼 생각하는 지극히 간단한 신념 에 기인한다. 한 학설이나 사상이 시 속에 나타날 때에는 그것은 시적 사고로 순화되고 정리되고 통제된 뒤가 아니면 아니된다. 어떠한 사상적 흥분도 그대로 시가 될 수는 없다. 많은 로맨티스트 의 일시적 감흥에 의한 즉흥시가 아직 발전하지 못한 시의 소재의 경지를 벗어나지 못한 것처럼 생경한 관념적 시는 관념에의 몰입에만 그치지 않고 시로서의 완성을 도모하여야 할 것이다.</t>
  </si>
  <si>
    <t>될 수 있는</t>
  </si>
  <si>
    <t>될</t>
  </si>
  <si>
    <t>인식(완화?)</t>
  </si>
  <si>
    <t>시평의 재비평</t>
  </si>
  <si>
    <t>사실 비판의 여러 종류 일 시인의 시론 이 비평가적 비평 삼 딜레타니즘 비평 중에서 시인에게 가장 이익 【될 수 있는】 것은 일 의 시인들 자신의 시론들이며, 가장 이익이 적고 위험이 많은 것은 최후의 것이다. 그렇지만 백철씨의 비평 속에는 딜레탄트 이상의 것이 번쩍이고 있는데 우리의 맹목하도록 악의있는 자는 아니다. 그리고 그 딜레탄트 이상의 것이라고 하는 것은 씨 자신이 스스로 그 잔재를 마저 탈락해버릴 수 없는 까닭에 탄식하는 듯한 소시민성 , 그 속에 있다고 하는 것은 얼마나 참담한 아이로니 일까. 예를 들면 사회적 입장에 선 씨는 또한 어떻게 그가 불만해하는 카페 의 견유학파 속에서도 문학적 가치 를 인정할 수 밖에 없었고, 그가 젊은 청소년들의 의식을 마취시키며 가로막는 데서 얼마나 많은 해독을 끼칠 것인가를 증오하여 마지않는 이태진 씨의 소설에 무의식적으로 취해 버리는가의 이유를 알 것 같다.</t>
  </si>
  <si>
    <t>현대비평의 딜렘마</t>
  </si>
  <si>
    <t>시인의 시론이나 작가의 비평은 그것의 특수한 가치에도 불구하고 객관적 비평으로서 스스로 자태를 갖출 때에 그것은 크게 경계해야 할 한계를 스스로 알지 않으면 아니된다. 즉 시론은 그것이 보다 더 객관화 될 때에 비평에 더욱 가까워 가고 그 주관적 조건의 필요에서 생긴 고립한 방법론으로 웅크려 버렸을 때에 그만큼 비평에서 멀어진다. 뒤의 것은 대체로 편협하고 일방적인 것이어서 그 도가 심하면 심할수록 더 경계할 것이나 시인은 혹은 그것을 가지고 성급하게 다른 사람의 작품에도 비평으로 응용하려고 할 경우를 우리는 충분히 【상상할 수가 있다】.</t>
  </si>
  <si>
    <t>상상할 수가 있다</t>
  </si>
  <si>
    <t>상상할</t>
  </si>
  <si>
    <t>김기림_현대 예술의 원시에 대한 욕구</t>
  </si>
  <si>
    <t>현대예술의 내부에 원시에의 동경이 눈뜨기 시작한 것은 벌써 오랜 일이다. 그것은 자못 강하게 움직여서 바야흐로 현대예술의 내부에 자기 분열을 일으켰다고도 【할 수 있다】.</t>
  </si>
  <si>
    <t>할 수 있다</t>
  </si>
  <si>
    <t>할</t>
  </si>
  <si>
    <t>김기림_새 인간성과 비평 정신</t>
  </si>
  <si>
    <t>이상은 물론 지식계급의 양심과 결벽을 신용한 뒤에 【할 수 있는】 말이다. 문학의 어느 장르 에 있어서도 고도의 지적 작용의 참가 없이는 문학의 제작이라고 하는 것이 전연 불가능하다. 지드 는 이것을 악마의 참가 라고도 하였다. 문학의 각 장르 속에서도 가장 왕성한 지적 활동을 요하는 것이 비평이고 지적 활동의 가능성이 가장 넓게 허락되어 있는 영역도 또 그것이다.</t>
  </si>
  <si>
    <t>할 수 있는</t>
  </si>
  <si>
    <t>문예시평가로서의 백철씨의 태도는 작품중심의 것이라고 생각되나 그의 평안 에 비치는 모든 작품은 평등하여 비평될만 한 가치있는 것 과 그렇지 못한 것과의 사이에 아무 구별도 층계도 없는 것같이 나에게는 보인다. 이 점이 씨의 비평의 치명상이 아닌가고 생각한다. 씨의 비평에서 이러한 불행을 구원해줄 수 있는 유일의 길은 씨의 비평이 양에 있어서 가지고 있던 그 큰 정력을 질에 있어서 획득하는 것이라고 생각한다. 다시 말하면 무궤도적으로 확대하고 있던 평면적 팽창 의욕에 많은 제한을 가하고 입체적으로 심화하는 방향으로 매진하는 때 백철씨의 비평은 완성에 더 가까운 것이 【될 수 있으리라고】 생각한다.</t>
  </si>
  <si>
    <t>될 수 있으리라고</t>
  </si>
  <si>
    <t>현대는 그것들에게 경의 를 표할는지는 모르나 확실히 사랑하지는 않는다. 그것은 벌써 현대와 동일한 지점에 서있는 것이 아니라 회고의 세계에 남아있는 일종의 달콤한 기억에 불과하다. 오직 그 친지들의 회상 속에서만 살아있는 모든 죽은 사람의 운명과 같이-. 아무리 우리들이 순수한 예술의 팬 일지라도 우리의 안전 의 전개는 일련의 현상을 우리들에게 낡은 의미의 예술의 가을이 가까워졌다는 것을 직각 시키고야 만다. 우리들이 【얻을 수 있는】 재료에서 귀납적으로 획득하는 지식은 그것이 정확한 사실임을 인정시킨다.</t>
  </si>
  <si>
    <t>얻을 수 있는</t>
  </si>
  <si>
    <t>BHR 표본추정 — [표본40] 판정에 연동</t>
  </si>
  <si>
    <t>표본 완화비율을 '수 있다' 전체에 적용한 추정. 경계(전부완화/전부비완화)는 정확, 중간은 소표본 추정.</t>
  </si>
  <si>
    <t>강조</t>
  </si>
  <si>
    <t>비수있다완화</t>
  </si>
  <si>
    <t>수있다(엔진)</t>
  </si>
  <si>
    <t>어절</t>
  </si>
  <si>
    <t>표본수</t>
  </si>
  <si>
    <t>표본'완화'</t>
  </si>
  <si>
    <t>완화비율</t>
  </si>
  <si>
    <t>완화합계</t>
  </si>
  <si>
    <t>강조NF</t>
  </si>
  <si>
    <t>완화NF</t>
  </si>
  <si>
    <t>BHR추정</t>
  </si>
  <si>
    <t>결론 점검(추정)</t>
  </si>
  <si>
    <t>셋 다 BHR&lt;1 (register 수렴)</t>
  </si>
  <si>
    <t>박용철 최저 BHR</t>
  </si>
  <si>
    <t>참고 — R0(전부완화): 박0.296·임0.609·김0.583 | R3(전부비완화): 박0.515·임1.255·김0.891</t>
  </si>
  <si>
    <t>비완화</t>
  </si>
  <si>
    <t>완화</t>
  </si>
  <si>
    <t>따라서 이곳에서 부르는 낭만적 정신이란 개념은 어떤 특정의 시대, 특정의 문학상의 경향을 의미하는 것이 아니라 한개의 원리적인 범주로서 칭호되는 것이다. 왜 이것을 원리적인 범주라고 부르느냐 하면 먼저도 잠간 말했지만 문학이라는 것은 자연, 인간 그 어느 것이나 혼자가 고립적으로 생산하는 것이 아니라, 자연과 인간의 생활적 관계 가운데서 형성되는 것이고, 직접적으로는 인간의 의식적 활동의 일소산인 문학적 현실이란, 현실적이면서 동시에 낭만적인 것의 상호관계라고 부를 수 있기 때문이다. 따라서 문학적 현실의 세계라는 것은 객관과 주관의 상극적 운동에서 현실적인 것과 낭만적인 것의 모순되는 관계 가운데서 형성되며, 반대로 문학적 현실은 현실적인 것과 낭만적인 것으로 전부가 환원되기 때문이다. 이러한 의미에서 문학에 있어 사실적 이퀄 서사적인 것과 낭만적 이퀄 서정적인 것은 진실로 원리적인 양대의 범주다. 그러므로 문학사상의 명멸한 수다의 경향의 문학적 조류도 이 양대 범주의 역사적인 운동 형태로 【볼 수가 있다】. 이것은 문학사의 평가에 있어 극히 중요한 계기의 하나이다.</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</si>
</sst>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
    <numFmt numFmtId="178" formatCode="0.000"/>
  </numFmts>
  <fonts count="16">
    <font>
      <sz val="11"/>
      <color theme="1"/>
      <name val="맑은 고딕"/>
      <family val="2"/>
      <scheme val="minor"/>
    </font>
    <font>
      <b/>
      <sz val="14"/>
      <color rgb="FF1F4E78"/>
      <name val="맑은 고딕"/>
      <family val="3"/>
      <charset val="129"/>
    </font>
    <font>
      <sz val="10"/>
      <color rgb="FF000000"/>
      <name val="맑은 고딕"/>
      <family val="3"/>
      <charset val="129"/>
    </font>
    <font>
      <b/>
      <sz val="10"/>
      <color rgb="FFC00000"/>
      <name val="맑은 고딕"/>
      <family val="3"/>
      <charset val="129"/>
    </font>
    <font>
      <b/>
      <sz val="11"/>
      <color rgb="FFC00000"/>
      <name val="맑은 고딕"/>
      <family val="3"/>
      <charset val="129"/>
    </font>
    <font>
      <b/>
      <sz val="10"/>
      <color rgb="FFFFFFFF"/>
      <name val="맑은 고딕"/>
      <family val="3"/>
      <charset val="129"/>
    </font>
    <font>
      <sz val="10"/>
      <name val="맑은 고딕"/>
      <family val="3"/>
      <charset val="129"/>
    </font>
    <font>
      <b/>
      <sz val="10"/>
      <name val="맑은 고딕"/>
      <family val="3"/>
      <charset val="129"/>
    </font>
    <font>
      <b/>
      <sz val="13"/>
      <color rgb="FF1F4E78"/>
      <name val="맑은 고딕"/>
      <family val="3"/>
      <charset val="129"/>
    </font>
    <font>
      <i/>
      <sz val="9"/>
      <color rgb="FF808080"/>
      <name val="맑은 고딕"/>
      <family val="3"/>
      <charset val="129"/>
    </font>
    <font>
      <sz val="11"/>
      <name val="맑은 고딕"/>
      <family val="3"/>
      <charset val="129"/>
    </font>
    <font>
      <sz val="11"/>
      <color rgb="FF0000FF"/>
      <name val="맑은 고딕"/>
      <family val="3"/>
      <charset val="129"/>
    </font>
    <font>
      <b/>
      <sz val="11"/>
      <name val="맑은 고딕"/>
      <family val="3"/>
      <charset val="129"/>
    </font>
    <font>
      <b/>
      <sz val="11"/>
      <name val="맑은 고딕"/>
      <family val="3"/>
      <charset val="129"/>
    </font>
    <font>
      <sz val="9"/>
      <color rgb="FF808080"/>
      <name val="맑은 고딕"/>
      <family val="3"/>
      <charset val="129"/>
    </font>
    <font>
      <sz val="8"/>
      <name val="맑은 고딕"/>
      <family val="3"/>
      <charset val="129"/>
      <scheme val="minor"/>
    </font>
  </fonts>
  <fills count="4">
    <fill>
      <patternFill patternType="none"/>
    </fill>
    <fill>
      <patternFill patternType="gray125"/>
    </fill>
    <fill>
      <patternFill patternType="solid">
        <fgColor rgb="FF1F4E78"/>
      </patternFill>
    </fill>
    <fill>
      <patternFill patternType="solid">
        <fgColor rgb="FFFFF2CC"/>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2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vertical="top" wrapText="1"/>
    </xf>
    <xf numFmtId="0" fontId="7" fillId="0" borderId="1" xfId="0" applyFont="1" applyBorder="1" applyAlignment="1">
      <alignment horizontal="center" vertical="center"/>
    </xf>
    <xf numFmtId="0" fontId="6" fillId="3" borderId="1" xfId="0" applyFont="1" applyFill="1" applyBorder="1" applyAlignment="1">
      <alignment horizontal="center" vertical="center"/>
    </xf>
    <xf numFmtId="0" fontId="8" fillId="0" borderId="0" xfId="0" applyFont="1"/>
    <xf numFmtId="0" fontId="9" fillId="0" borderId="0" xfId="0" applyFont="1"/>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177" fontId="0" fillId="0" borderId="1" xfId="0" applyNumberFormat="1" applyBorder="1" applyAlignment="1">
      <alignment horizontal="center" vertical="center"/>
    </xf>
    <xf numFmtId="2" fontId="0" fillId="0" borderId="1" xfId="0" applyNumberFormat="1" applyBorder="1" applyAlignment="1">
      <alignment horizontal="center" vertical="center"/>
    </xf>
    <xf numFmtId="178" fontId="12" fillId="0" borderId="1" xfId="0" applyNumberFormat="1" applyFont="1" applyBorder="1" applyAlignment="1">
      <alignment horizontal="center" vertical="center"/>
    </xf>
    <xf numFmtId="0" fontId="13" fillId="0" borderId="0" xfId="0" applyFont="1"/>
    <xf numFmtId="0" fontId="10" fillId="0" borderId="0" xfId="0" applyFont="1"/>
    <xf numFmtId="0" fontId="12" fillId="0" borderId="0" xfId="0" applyFont="1"/>
    <xf numFmtId="0" fontId="14"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workbookViewId="0">
      <selection activeCell="A10" sqref="A10"/>
    </sheetView>
  </sheetViews>
  <sheetFormatPr defaultRowHeight="16.5"/>
  <cols>
    <col min="1" max="1" width="105" customWidth="1"/>
  </cols>
  <sheetData>
    <row r="1" spans="1:1" ht="20.25">
      <c r="A1" s="1" t="s">
        <v>0</v>
      </c>
    </row>
    <row r="2" spans="1:1">
      <c r="A2" s="2"/>
    </row>
    <row r="3" spans="1:1">
      <c r="A3" s="2" t="s">
        <v>1</v>
      </c>
    </row>
    <row r="4" spans="1:1">
      <c r="A4" s="2" t="s">
        <v>2</v>
      </c>
    </row>
    <row r="5" spans="1:1">
      <c r="A5" s="3" t="s">
        <v>3</v>
      </c>
    </row>
    <row r="6" spans="1:1">
      <c r="A6" s="2"/>
    </row>
    <row r="7" spans="1:1">
      <c r="A7" s="4" t="s">
        <v>4</v>
      </c>
    </row>
    <row r="8" spans="1:1">
      <c r="A8" s="2" t="s">
        <v>5</v>
      </c>
    </row>
    <row r="9" spans="1:1">
      <c r="A9" s="2" t="s">
        <v>6</v>
      </c>
    </row>
    <row r="10" spans="1:1">
      <c r="A10" s="2" t="s">
        <v>7</v>
      </c>
    </row>
    <row r="11" spans="1:1">
      <c r="A11" s="2" t="s">
        <v>8</v>
      </c>
    </row>
    <row r="12" spans="1:1">
      <c r="A12" s="2"/>
    </row>
    <row r="13" spans="1:1">
      <c r="A13" s="4" t="s">
        <v>9</v>
      </c>
    </row>
    <row r="14" spans="1:1">
      <c r="A14" s="2" t="s">
        <v>10</v>
      </c>
    </row>
    <row r="15" spans="1:1">
      <c r="A15" s="2"/>
    </row>
    <row r="16" spans="1:1">
      <c r="A16" s="4" t="s">
        <v>11</v>
      </c>
    </row>
    <row r="17" spans="1:1">
      <c r="A17" s="2" t="s">
        <v>12</v>
      </c>
    </row>
    <row r="18" spans="1:1">
      <c r="A18" s="2" t="s">
        <v>13</v>
      </c>
    </row>
    <row r="19" spans="1:1">
      <c r="A19" s="2" t="s">
        <v>14</v>
      </c>
    </row>
  </sheetData>
  <phoneticPr fontId="1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tabSelected="1" workbookViewId="0">
      <pane ySplit="1" topLeftCell="A37" activePane="bottomLeft" state="frozen"/>
      <selection pane="bottomLeft" activeCell="H41" sqref="H41"/>
    </sheetView>
  </sheetViews>
  <sheetFormatPr defaultRowHeight="16.5"/>
  <cols>
    <col min="1" max="1" width="4" customWidth="1"/>
    <col min="2" max="2" width="7" customWidth="1"/>
    <col min="3" max="3" width="24" customWidth="1"/>
    <col min="4" max="4" width="92" customWidth="1"/>
    <col min="5" max="5" width="13" customWidth="1"/>
    <col min="6" max="6" width="9" customWidth="1"/>
    <col min="7" max="7" width="13" customWidth="1"/>
    <col min="8" max="8" width="9" customWidth="1"/>
    <col min="9" max="9" width="16" customWidth="1"/>
  </cols>
  <sheetData>
    <row r="1" spans="1:9">
      <c r="A1" s="5" t="s">
        <v>15</v>
      </c>
      <c r="B1" s="5" t="s">
        <v>16</v>
      </c>
      <c r="C1" s="5" t="s">
        <v>17</v>
      </c>
      <c r="D1" s="5" t="s">
        <v>18</v>
      </c>
      <c r="E1" s="5" t="s">
        <v>19</v>
      </c>
      <c r="F1" s="5" t="s">
        <v>20</v>
      </c>
      <c r="G1" s="5" t="s">
        <v>21</v>
      </c>
      <c r="H1" s="5" t="s">
        <v>22</v>
      </c>
      <c r="I1" s="5" t="s">
        <v>23</v>
      </c>
    </row>
    <row r="2" spans="1:9" ht="95.1" customHeight="1">
      <c r="A2" s="6">
        <v>1</v>
      </c>
      <c r="B2" s="6" t="s">
        <v>24</v>
      </c>
      <c r="C2" s="6" t="s">
        <v>25</v>
      </c>
      <c r="D2" s="7" t="s">
        <v>26</v>
      </c>
      <c r="E2" s="8" t="s">
        <v>27</v>
      </c>
      <c r="F2" s="6" t="s">
        <v>28</v>
      </c>
      <c r="G2" s="6" t="s">
        <v>29</v>
      </c>
      <c r="H2" s="9" t="s">
        <v>166</v>
      </c>
      <c r="I2" s="7"/>
    </row>
    <row r="3" spans="1:9" ht="95.1" customHeight="1">
      <c r="A3" s="6">
        <v>2</v>
      </c>
      <c r="B3" s="6" t="s">
        <v>24</v>
      </c>
      <c r="C3" s="6" t="s">
        <v>30</v>
      </c>
      <c r="D3" s="7" t="s">
        <v>31</v>
      </c>
      <c r="E3" s="8" t="s">
        <v>32</v>
      </c>
      <c r="F3" s="6" t="s">
        <v>33</v>
      </c>
      <c r="G3" s="6" t="s">
        <v>29</v>
      </c>
      <c r="H3" s="9" t="s">
        <v>166</v>
      </c>
      <c r="I3" s="7"/>
    </row>
    <row r="4" spans="1:9" ht="95.1" customHeight="1">
      <c r="A4" s="6">
        <v>3</v>
      </c>
      <c r="B4" s="6" t="s">
        <v>24</v>
      </c>
      <c r="C4" s="6" t="s">
        <v>30</v>
      </c>
      <c r="D4" s="7" t="s">
        <v>34</v>
      </c>
      <c r="E4" s="8" t="s">
        <v>35</v>
      </c>
      <c r="F4" s="6" t="s">
        <v>36</v>
      </c>
      <c r="G4" s="6" t="s">
        <v>37</v>
      </c>
      <c r="H4" s="9" t="s">
        <v>166</v>
      </c>
      <c r="I4" s="7"/>
    </row>
    <row r="5" spans="1:9" ht="95.1" customHeight="1">
      <c r="A5" s="6">
        <v>4</v>
      </c>
      <c r="B5" s="6" t="s">
        <v>24</v>
      </c>
      <c r="C5" s="6" t="s">
        <v>30</v>
      </c>
      <c r="D5" s="7" t="s">
        <v>38</v>
      </c>
      <c r="E5" s="8" t="s">
        <v>39</v>
      </c>
      <c r="F5" s="6" t="s">
        <v>40</v>
      </c>
      <c r="G5" s="6" t="s">
        <v>29</v>
      </c>
      <c r="H5" s="9" t="s">
        <v>166</v>
      </c>
      <c r="I5" s="7"/>
    </row>
    <row r="6" spans="1:9" ht="95.1" customHeight="1">
      <c r="A6" s="6">
        <v>5</v>
      </c>
      <c r="B6" s="6" t="s">
        <v>24</v>
      </c>
      <c r="C6" s="6" t="s">
        <v>30</v>
      </c>
      <c r="D6" s="7" t="s">
        <v>41</v>
      </c>
      <c r="E6" s="8" t="s">
        <v>42</v>
      </c>
      <c r="F6" s="6" t="s">
        <v>43</v>
      </c>
      <c r="G6" s="6" t="s">
        <v>29</v>
      </c>
      <c r="H6" s="9" t="s">
        <v>166</v>
      </c>
      <c r="I6" s="7"/>
    </row>
    <row r="7" spans="1:9" ht="95.1" customHeight="1">
      <c r="A7" s="6">
        <v>6</v>
      </c>
      <c r="B7" s="6" t="s">
        <v>24</v>
      </c>
      <c r="C7" s="6" t="s">
        <v>30</v>
      </c>
      <c r="D7" s="7" t="s">
        <v>44</v>
      </c>
      <c r="E7" s="8" t="s">
        <v>45</v>
      </c>
      <c r="F7" s="6" t="s">
        <v>46</v>
      </c>
      <c r="G7" s="6" t="s">
        <v>37</v>
      </c>
      <c r="H7" s="9" t="s">
        <v>166</v>
      </c>
      <c r="I7" s="7"/>
    </row>
    <row r="8" spans="1:9" ht="95.1" customHeight="1">
      <c r="A8" s="6">
        <v>7</v>
      </c>
      <c r="B8" s="6" t="s">
        <v>24</v>
      </c>
      <c r="C8" s="6" t="s">
        <v>30</v>
      </c>
      <c r="D8" s="7" t="s">
        <v>47</v>
      </c>
      <c r="E8" s="8" t="s">
        <v>48</v>
      </c>
      <c r="F8" s="6" t="s">
        <v>49</v>
      </c>
      <c r="G8" s="6" t="s">
        <v>29</v>
      </c>
      <c r="H8" s="9" t="s">
        <v>166</v>
      </c>
      <c r="I8" s="7"/>
    </row>
    <row r="9" spans="1:9" ht="95.1" customHeight="1">
      <c r="A9" s="6">
        <v>8</v>
      </c>
      <c r="B9" s="6" t="s">
        <v>24</v>
      </c>
      <c r="C9" s="6" t="s">
        <v>30</v>
      </c>
      <c r="D9" s="7" t="s">
        <v>50</v>
      </c>
      <c r="E9" s="8" t="s">
        <v>51</v>
      </c>
      <c r="F9" s="6" t="s">
        <v>52</v>
      </c>
      <c r="G9" s="6" t="s">
        <v>29</v>
      </c>
      <c r="H9" s="9" t="s">
        <v>166</v>
      </c>
      <c r="I9" s="7"/>
    </row>
    <row r="10" spans="1:9" ht="95.1" customHeight="1">
      <c r="A10" s="6">
        <v>9</v>
      </c>
      <c r="B10" s="6" t="s">
        <v>24</v>
      </c>
      <c r="C10" s="6" t="s">
        <v>53</v>
      </c>
      <c r="D10" s="7" t="s">
        <v>54</v>
      </c>
      <c r="E10" s="8" t="s">
        <v>55</v>
      </c>
      <c r="F10" s="6" t="s">
        <v>56</v>
      </c>
      <c r="G10" s="6" t="s">
        <v>29</v>
      </c>
      <c r="H10" s="9" t="s">
        <v>166</v>
      </c>
      <c r="I10" s="7"/>
    </row>
    <row r="11" spans="1:9" ht="95.1" customHeight="1">
      <c r="A11" s="6">
        <v>10</v>
      </c>
      <c r="B11" s="6" t="s">
        <v>24</v>
      </c>
      <c r="C11" s="6" t="s">
        <v>30</v>
      </c>
      <c r="D11" s="7" t="s">
        <v>57</v>
      </c>
      <c r="E11" s="8" t="s">
        <v>58</v>
      </c>
      <c r="F11" s="6" t="s">
        <v>59</v>
      </c>
      <c r="G11" s="6" t="s">
        <v>29</v>
      </c>
      <c r="H11" s="9" t="s">
        <v>167</v>
      </c>
      <c r="I11" s="7"/>
    </row>
    <row r="12" spans="1:9" ht="95.1" customHeight="1">
      <c r="A12" s="6">
        <v>11</v>
      </c>
      <c r="B12" s="6" t="s">
        <v>60</v>
      </c>
      <c r="C12" s="6" t="s">
        <v>61</v>
      </c>
      <c r="D12" s="7" t="s">
        <v>62</v>
      </c>
      <c r="E12" s="8" t="s">
        <v>63</v>
      </c>
      <c r="F12" s="6" t="s">
        <v>64</v>
      </c>
      <c r="G12" s="6" t="s">
        <v>37</v>
      </c>
      <c r="H12" s="9" t="s">
        <v>166</v>
      </c>
      <c r="I12" s="7"/>
    </row>
    <row r="13" spans="1:9" ht="95.1" customHeight="1">
      <c r="A13" s="6">
        <v>12</v>
      </c>
      <c r="B13" s="6" t="s">
        <v>60</v>
      </c>
      <c r="C13" s="6" t="s">
        <v>65</v>
      </c>
      <c r="D13" s="7" t="s">
        <v>66</v>
      </c>
      <c r="E13" s="8" t="s">
        <v>67</v>
      </c>
      <c r="F13" s="6" t="s">
        <v>46</v>
      </c>
      <c r="G13" s="6" t="s">
        <v>37</v>
      </c>
      <c r="H13" s="9" t="s">
        <v>166</v>
      </c>
      <c r="I13" s="7"/>
    </row>
    <row r="14" spans="1:9" ht="95.1" customHeight="1">
      <c r="A14" s="6">
        <v>13</v>
      </c>
      <c r="B14" s="6" t="s">
        <v>60</v>
      </c>
      <c r="C14" s="6" t="s">
        <v>65</v>
      </c>
      <c r="D14" s="7" t="s">
        <v>68</v>
      </c>
      <c r="E14" s="8" t="s">
        <v>69</v>
      </c>
      <c r="F14" s="6" t="s">
        <v>46</v>
      </c>
      <c r="G14" s="6" t="s">
        <v>37</v>
      </c>
      <c r="H14" s="9" t="s">
        <v>166</v>
      </c>
      <c r="I14" s="7"/>
    </row>
    <row r="15" spans="1:9" ht="95.1" customHeight="1">
      <c r="A15" s="6">
        <v>14</v>
      </c>
      <c r="B15" s="6" t="s">
        <v>60</v>
      </c>
      <c r="C15" s="6" t="s">
        <v>65</v>
      </c>
      <c r="D15" s="7" t="s">
        <v>70</v>
      </c>
      <c r="E15" s="8" t="s">
        <v>69</v>
      </c>
      <c r="F15" s="6" t="s">
        <v>46</v>
      </c>
      <c r="G15" s="6" t="s">
        <v>37</v>
      </c>
      <c r="H15" s="9" t="s">
        <v>166</v>
      </c>
      <c r="I15" s="7"/>
    </row>
    <row r="16" spans="1:9" ht="95.1" customHeight="1">
      <c r="A16" s="6">
        <v>15</v>
      </c>
      <c r="B16" s="6" t="s">
        <v>60</v>
      </c>
      <c r="C16" s="6" t="s">
        <v>71</v>
      </c>
      <c r="D16" s="7" t="s">
        <v>72</v>
      </c>
      <c r="E16" s="8" t="s">
        <v>69</v>
      </c>
      <c r="F16" s="6" t="s">
        <v>46</v>
      </c>
      <c r="G16" s="6" t="s">
        <v>37</v>
      </c>
      <c r="H16" s="9" t="s">
        <v>166</v>
      </c>
      <c r="I16" s="7"/>
    </row>
    <row r="17" spans="1:9" ht="95.1" customHeight="1">
      <c r="A17" s="6">
        <v>16</v>
      </c>
      <c r="B17" s="6" t="s">
        <v>60</v>
      </c>
      <c r="C17" s="6" t="s">
        <v>73</v>
      </c>
      <c r="D17" s="7" t="s">
        <v>74</v>
      </c>
      <c r="E17" s="8" t="s">
        <v>75</v>
      </c>
      <c r="F17" s="6" t="s">
        <v>76</v>
      </c>
      <c r="G17" s="6" t="s">
        <v>29</v>
      </c>
      <c r="H17" s="9" t="s">
        <v>166</v>
      </c>
      <c r="I17" s="7"/>
    </row>
    <row r="18" spans="1:9" ht="95.1" customHeight="1">
      <c r="A18" s="6">
        <v>17</v>
      </c>
      <c r="B18" s="6" t="s">
        <v>60</v>
      </c>
      <c r="C18" s="6" t="s">
        <v>77</v>
      </c>
      <c r="D18" s="7" t="s">
        <v>78</v>
      </c>
      <c r="E18" s="8" t="s">
        <v>79</v>
      </c>
      <c r="F18" s="6" t="s">
        <v>80</v>
      </c>
      <c r="G18" s="6" t="s">
        <v>29</v>
      </c>
      <c r="H18" s="9" t="s">
        <v>166</v>
      </c>
      <c r="I18" s="7"/>
    </row>
    <row r="19" spans="1:9" ht="95.1" customHeight="1">
      <c r="A19" s="6">
        <v>18</v>
      </c>
      <c r="B19" s="6" t="s">
        <v>60</v>
      </c>
      <c r="C19" s="6" t="s">
        <v>65</v>
      </c>
      <c r="D19" s="7" t="s">
        <v>81</v>
      </c>
      <c r="E19" s="8" t="s">
        <v>82</v>
      </c>
      <c r="F19" s="6" t="s">
        <v>46</v>
      </c>
      <c r="G19" s="6" t="s">
        <v>37</v>
      </c>
      <c r="H19" s="9" t="s">
        <v>166</v>
      </c>
      <c r="I19" s="7"/>
    </row>
    <row r="20" spans="1:9" ht="95.1" customHeight="1">
      <c r="A20" s="6">
        <v>19</v>
      </c>
      <c r="B20" s="6" t="s">
        <v>60</v>
      </c>
      <c r="C20" s="6" t="s">
        <v>71</v>
      </c>
      <c r="D20" s="7" t="s">
        <v>168</v>
      </c>
      <c r="E20" s="8" t="s">
        <v>83</v>
      </c>
      <c r="F20" s="6" t="s">
        <v>46</v>
      </c>
      <c r="G20" s="6" t="s">
        <v>37</v>
      </c>
      <c r="H20" s="9" t="s">
        <v>166</v>
      </c>
      <c r="I20" s="7"/>
    </row>
    <row r="21" spans="1:9" ht="95.1" customHeight="1">
      <c r="A21" s="6">
        <v>20</v>
      </c>
      <c r="B21" s="6" t="s">
        <v>60</v>
      </c>
      <c r="C21" s="6" t="s">
        <v>84</v>
      </c>
      <c r="D21" s="7" t="s">
        <v>85</v>
      </c>
      <c r="E21" s="8" t="s">
        <v>86</v>
      </c>
      <c r="F21" s="6" t="s">
        <v>87</v>
      </c>
      <c r="G21" s="6" t="s">
        <v>29</v>
      </c>
      <c r="H21" s="9" t="s">
        <v>166</v>
      </c>
      <c r="I21" s="7"/>
    </row>
    <row r="22" spans="1:9" ht="95.1" customHeight="1">
      <c r="A22" s="6">
        <v>21</v>
      </c>
      <c r="B22" s="6" t="s">
        <v>60</v>
      </c>
      <c r="C22" s="6" t="s">
        <v>61</v>
      </c>
      <c r="D22" s="7" t="s">
        <v>88</v>
      </c>
      <c r="E22" s="8" t="s">
        <v>69</v>
      </c>
      <c r="F22" s="6" t="s">
        <v>46</v>
      </c>
      <c r="G22" s="6" t="s">
        <v>37</v>
      </c>
      <c r="H22" s="9" t="s">
        <v>166</v>
      </c>
      <c r="I22" s="7"/>
    </row>
    <row r="23" spans="1:9" ht="95.1" customHeight="1">
      <c r="A23" s="6">
        <v>22</v>
      </c>
      <c r="B23" s="6" t="s">
        <v>60</v>
      </c>
      <c r="C23" s="6" t="s">
        <v>71</v>
      </c>
      <c r="D23" s="7" t="s">
        <v>89</v>
      </c>
      <c r="E23" s="8" t="s">
        <v>90</v>
      </c>
      <c r="F23" s="6" t="s">
        <v>91</v>
      </c>
      <c r="G23" s="6" t="s">
        <v>37</v>
      </c>
      <c r="H23" s="9" t="s">
        <v>166</v>
      </c>
      <c r="I23" s="7"/>
    </row>
    <row r="24" spans="1:9" ht="95.1" customHeight="1">
      <c r="A24" s="6">
        <v>23</v>
      </c>
      <c r="B24" s="6" t="s">
        <v>60</v>
      </c>
      <c r="C24" s="6" t="s">
        <v>92</v>
      </c>
      <c r="D24" s="7" t="s">
        <v>93</v>
      </c>
      <c r="E24" s="8" t="s">
        <v>94</v>
      </c>
      <c r="F24" s="6" t="s">
        <v>56</v>
      </c>
      <c r="G24" s="6" t="s">
        <v>29</v>
      </c>
      <c r="H24" s="9" t="s">
        <v>166</v>
      </c>
      <c r="I24" s="7"/>
    </row>
    <row r="25" spans="1:9" ht="95.1" customHeight="1">
      <c r="A25" s="6">
        <v>24</v>
      </c>
      <c r="B25" s="6" t="s">
        <v>60</v>
      </c>
      <c r="C25" s="6" t="s">
        <v>73</v>
      </c>
      <c r="D25" s="7" t="s">
        <v>95</v>
      </c>
      <c r="E25" s="8" t="s">
        <v>96</v>
      </c>
      <c r="F25" s="6" t="s">
        <v>97</v>
      </c>
      <c r="G25" s="6" t="s">
        <v>29</v>
      </c>
      <c r="H25" s="9" t="s">
        <v>166</v>
      </c>
      <c r="I25" s="7"/>
    </row>
    <row r="26" spans="1:9" ht="95.1" customHeight="1">
      <c r="A26" s="6">
        <v>25</v>
      </c>
      <c r="B26" s="6" t="s">
        <v>60</v>
      </c>
      <c r="C26" s="6" t="s">
        <v>65</v>
      </c>
      <c r="D26" s="7" t="s">
        <v>98</v>
      </c>
      <c r="E26" s="8" t="s">
        <v>99</v>
      </c>
      <c r="F26" s="6" t="s">
        <v>100</v>
      </c>
      <c r="G26" s="6" t="s">
        <v>29</v>
      </c>
      <c r="H26" s="9" t="s">
        <v>166</v>
      </c>
      <c r="I26" s="7"/>
    </row>
    <row r="27" spans="1:9" ht="95.1" customHeight="1">
      <c r="A27" s="6">
        <v>26</v>
      </c>
      <c r="B27" s="6" t="s">
        <v>60</v>
      </c>
      <c r="C27" s="6" t="s">
        <v>101</v>
      </c>
      <c r="D27" s="7" t="s">
        <v>102</v>
      </c>
      <c r="E27" s="8" t="s">
        <v>103</v>
      </c>
      <c r="F27" s="6" t="s">
        <v>104</v>
      </c>
      <c r="G27" s="6" t="s">
        <v>29</v>
      </c>
      <c r="H27" s="9" t="s">
        <v>166</v>
      </c>
      <c r="I27" s="7"/>
    </row>
    <row r="28" spans="1:9" ht="95.1" customHeight="1">
      <c r="A28" s="6">
        <v>27</v>
      </c>
      <c r="B28" s="6" t="s">
        <v>60</v>
      </c>
      <c r="C28" s="6" t="s">
        <v>105</v>
      </c>
      <c r="D28" s="7" t="s">
        <v>106</v>
      </c>
      <c r="E28" s="8" t="s">
        <v>107</v>
      </c>
      <c r="F28" s="6" t="s">
        <v>108</v>
      </c>
      <c r="G28" s="6" t="s">
        <v>29</v>
      </c>
      <c r="H28" s="9" t="s">
        <v>166</v>
      </c>
      <c r="I28" s="7"/>
    </row>
    <row r="29" spans="1:9" ht="95.1" customHeight="1">
      <c r="A29" s="6">
        <v>28</v>
      </c>
      <c r="B29" s="6" t="s">
        <v>60</v>
      </c>
      <c r="C29" s="6" t="s">
        <v>101</v>
      </c>
      <c r="D29" s="7" t="s">
        <v>109</v>
      </c>
      <c r="E29" s="8" t="s">
        <v>110</v>
      </c>
      <c r="F29" s="6" t="s">
        <v>46</v>
      </c>
      <c r="G29" s="6" t="s">
        <v>37</v>
      </c>
      <c r="H29" s="9" t="s">
        <v>166</v>
      </c>
      <c r="I29" s="7"/>
    </row>
    <row r="30" spans="1:9" ht="95.1" customHeight="1">
      <c r="A30" s="6">
        <v>29</v>
      </c>
      <c r="B30" s="6" t="s">
        <v>60</v>
      </c>
      <c r="C30" s="6" t="s">
        <v>105</v>
      </c>
      <c r="D30" s="7" t="s">
        <v>111</v>
      </c>
      <c r="E30" s="8" t="s">
        <v>83</v>
      </c>
      <c r="F30" s="6" t="s">
        <v>46</v>
      </c>
      <c r="G30" s="6" t="s">
        <v>37</v>
      </c>
      <c r="H30" s="9" t="s">
        <v>166</v>
      </c>
      <c r="I30" s="7"/>
    </row>
    <row r="31" spans="1:9" ht="95.1" customHeight="1">
      <c r="A31" s="6">
        <v>30</v>
      </c>
      <c r="B31" s="6" t="s">
        <v>60</v>
      </c>
      <c r="C31" s="6" t="s">
        <v>65</v>
      </c>
      <c r="D31" s="7" t="s">
        <v>112</v>
      </c>
      <c r="E31" s="8" t="s">
        <v>113</v>
      </c>
      <c r="F31" s="6" t="s">
        <v>114</v>
      </c>
      <c r="G31" s="6" t="s">
        <v>29</v>
      </c>
      <c r="H31" s="9" t="s">
        <v>166</v>
      </c>
      <c r="I31" s="7"/>
    </row>
    <row r="32" spans="1:9" ht="95.1" customHeight="1">
      <c r="A32" s="6">
        <v>31</v>
      </c>
      <c r="B32" s="6" t="s">
        <v>115</v>
      </c>
      <c r="C32" s="6" t="s">
        <v>116</v>
      </c>
      <c r="D32" s="7" t="s">
        <v>117</v>
      </c>
      <c r="E32" s="8" t="s">
        <v>118</v>
      </c>
      <c r="F32" s="6" t="s">
        <v>119</v>
      </c>
      <c r="G32" s="6" t="s">
        <v>29</v>
      </c>
      <c r="H32" s="9" t="s">
        <v>166</v>
      </c>
      <c r="I32" s="7"/>
    </row>
    <row r="33" spans="1:9" ht="95.1" customHeight="1">
      <c r="A33" s="6">
        <v>32</v>
      </c>
      <c r="B33" s="6" t="s">
        <v>115</v>
      </c>
      <c r="C33" s="6" t="s">
        <v>120</v>
      </c>
      <c r="D33" s="7" t="s">
        <v>121</v>
      </c>
      <c r="E33" s="8" t="s">
        <v>122</v>
      </c>
      <c r="F33" s="6" t="s">
        <v>123</v>
      </c>
      <c r="G33" s="6" t="s">
        <v>37</v>
      </c>
      <c r="H33" s="9" t="s">
        <v>166</v>
      </c>
      <c r="I33" s="7"/>
    </row>
    <row r="34" spans="1:9" ht="95.1" customHeight="1">
      <c r="A34" s="6">
        <v>33</v>
      </c>
      <c r="B34" s="6" t="s">
        <v>115</v>
      </c>
      <c r="C34" s="6" t="s">
        <v>124</v>
      </c>
      <c r="D34" s="7" t="s">
        <v>125</v>
      </c>
      <c r="E34" s="8" t="s">
        <v>126</v>
      </c>
      <c r="F34" s="6" t="s">
        <v>127</v>
      </c>
      <c r="G34" s="6" t="s">
        <v>29</v>
      </c>
      <c r="H34" s="9" t="s">
        <v>166</v>
      </c>
      <c r="I34" s="7"/>
    </row>
    <row r="35" spans="1:9" ht="95.1" customHeight="1">
      <c r="A35" s="6">
        <v>34</v>
      </c>
      <c r="B35" s="6" t="s">
        <v>115</v>
      </c>
      <c r="C35" s="6" t="s">
        <v>120</v>
      </c>
      <c r="D35" s="7" t="s">
        <v>128</v>
      </c>
      <c r="E35" s="8" t="s">
        <v>129</v>
      </c>
      <c r="F35" s="6" t="s">
        <v>130</v>
      </c>
      <c r="G35" s="6" t="s">
        <v>131</v>
      </c>
      <c r="H35" s="9" t="s">
        <v>166</v>
      </c>
      <c r="I35" s="7"/>
    </row>
    <row r="36" spans="1:9" ht="95.1" customHeight="1">
      <c r="A36" s="6">
        <v>35</v>
      </c>
      <c r="B36" s="6" t="s">
        <v>115</v>
      </c>
      <c r="C36" s="6" t="s">
        <v>132</v>
      </c>
      <c r="D36" s="7" t="s">
        <v>133</v>
      </c>
      <c r="E36" s="8" t="s">
        <v>129</v>
      </c>
      <c r="F36" s="6" t="s">
        <v>130</v>
      </c>
      <c r="G36" s="6" t="s">
        <v>131</v>
      </c>
      <c r="H36" s="9" t="s">
        <v>166</v>
      </c>
      <c r="I36" s="7"/>
    </row>
    <row r="37" spans="1:9" ht="95.1" customHeight="1">
      <c r="A37" s="6">
        <v>36</v>
      </c>
      <c r="B37" s="6" t="s">
        <v>115</v>
      </c>
      <c r="C37" s="6" t="s">
        <v>134</v>
      </c>
      <c r="D37" s="7" t="s">
        <v>135</v>
      </c>
      <c r="E37" s="8" t="s">
        <v>136</v>
      </c>
      <c r="F37" s="6" t="s">
        <v>137</v>
      </c>
      <c r="G37" s="6" t="s">
        <v>29</v>
      </c>
      <c r="H37" s="9" t="s">
        <v>166</v>
      </c>
      <c r="I37" s="7"/>
    </row>
    <row r="38" spans="1:9" ht="95.1" customHeight="1">
      <c r="A38" s="6">
        <v>37</v>
      </c>
      <c r="B38" s="6" t="s">
        <v>115</v>
      </c>
      <c r="C38" s="6" t="s">
        <v>138</v>
      </c>
      <c r="D38" s="7" t="s">
        <v>139</v>
      </c>
      <c r="E38" s="8" t="s">
        <v>140</v>
      </c>
      <c r="F38" s="6" t="s">
        <v>141</v>
      </c>
      <c r="G38" s="6" t="s">
        <v>29</v>
      </c>
      <c r="H38" s="9" t="s">
        <v>166</v>
      </c>
      <c r="I38" s="7"/>
    </row>
    <row r="39" spans="1:9" ht="95.1" customHeight="1">
      <c r="A39" s="6">
        <v>38</v>
      </c>
      <c r="B39" s="6" t="s">
        <v>115</v>
      </c>
      <c r="C39" s="6" t="s">
        <v>142</v>
      </c>
      <c r="D39" s="7" t="s">
        <v>143</v>
      </c>
      <c r="E39" s="8" t="s">
        <v>144</v>
      </c>
      <c r="F39" s="6" t="s">
        <v>141</v>
      </c>
      <c r="G39" s="6" t="s">
        <v>29</v>
      </c>
      <c r="H39" s="9" t="s">
        <v>166</v>
      </c>
      <c r="I39" s="7"/>
    </row>
    <row r="40" spans="1:9" ht="95.1" customHeight="1">
      <c r="A40" s="6">
        <v>39</v>
      </c>
      <c r="B40" s="6" t="s">
        <v>115</v>
      </c>
      <c r="C40" s="6" t="s">
        <v>132</v>
      </c>
      <c r="D40" s="7" t="s">
        <v>145</v>
      </c>
      <c r="E40" s="8" t="s">
        <v>146</v>
      </c>
      <c r="F40" s="6" t="s">
        <v>130</v>
      </c>
      <c r="G40" s="6" t="s">
        <v>131</v>
      </c>
      <c r="H40" s="9" t="s">
        <v>167</v>
      </c>
      <c r="I40" s="7"/>
    </row>
    <row r="41" spans="1:9" ht="95.1" customHeight="1">
      <c r="A41" s="6">
        <v>40</v>
      </c>
      <c r="B41" s="6" t="s">
        <v>115</v>
      </c>
      <c r="C41" s="6" t="s">
        <v>124</v>
      </c>
      <c r="D41" s="7" t="s">
        <v>147</v>
      </c>
      <c r="E41" s="8" t="s">
        <v>148</v>
      </c>
      <c r="F41" s="6" t="s">
        <v>119</v>
      </c>
      <c r="G41" s="6" t="s">
        <v>29</v>
      </c>
      <c r="H41" s="9" t="s">
        <v>166</v>
      </c>
      <c r="I41" s="7"/>
    </row>
  </sheetData>
  <phoneticPr fontId="15" type="noConversion"/>
  <dataValidations count="1">
    <dataValidation type="list" allowBlank="1" sqref="H2:H41" xr:uid="{00000000-0002-0000-0100-000000000000}">
      <formula1>"완화,비완화,보류"</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workbookViewId="0"/>
  </sheetViews>
  <sheetFormatPr defaultRowHeight="16.5"/>
  <cols>
    <col min="1" max="1" width="8" customWidth="1"/>
    <col min="2" max="2" width="7" customWidth="1"/>
    <col min="3" max="3" width="12" customWidth="1"/>
    <col min="4" max="4" width="20" customWidth="1"/>
    <col min="5" max="5" width="9" customWidth="1"/>
    <col min="6" max="6" width="8" customWidth="1"/>
    <col min="7" max="8" width="9" customWidth="1"/>
    <col min="9" max="9" width="11" customWidth="1"/>
    <col min="10" max="11" width="9" customWidth="1"/>
    <col min="12" max="12" width="10" customWidth="1"/>
  </cols>
  <sheetData>
    <row r="1" spans="1:12" ht="19.5">
      <c r="A1" s="10" t="s">
        <v>149</v>
      </c>
    </row>
    <row r="2" spans="1:12">
      <c r="A2" s="11" t="s">
        <v>150</v>
      </c>
    </row>
    <row r="4" spans="1:12">
      <c r="A4" s="5" t="s">
        <v>16</v>
      </c>
      <c r="B4" s="5" t="s">
        <v>151</v>
      </c>
      <c r="C4" s="5" t="s">
        <v>152</v>
      </c>
      <c r="D4" s="5" t="s">
        <v>153</v>
      </c>
      <c r="E4" s="5" t="s">
        <v>154</v>
      </c>
      <c r="F4" s="5" t="s">
        <v>155</v>
      </c>
      <c r="G4" s="5" t="s">
        <v>156</v>
      </c>
      <c r="H4" s="5" t="s">
        <v>157</v>
      </c>
      <c r="I4" s="5" t="s">
        <v>158</v>
      </c>
      <c r="J4" s="5" t="s">
        <v>159</v>
      </c>
      <c r="K4" s="5" t="s">
        <v>160</v>
      </c>
      <c r="L4" s="5" t="s">
        <v>161</v>
      </c>
    </row>
    <row r="5" spans="1:12">
      <c r="A5" s="12" t="s">
        <v>24</v>
      </c>
      <c r="B5" s="13">
        <v>34</v>
      </c>
      <c r="C5" s="13">
        <v>66</v>
      </c>
      <c r="D5" s="13">
        <v>49</v>
      </c>
      <c r="E5" s="13">
        <v>5754</v>
      </c>
      <c r="F5" s="13">
        <v>10</v>
      </c>
      <c r="G5" s="14">
        <f>COUNTIFS(표본40!$B$2:$B$41,$A5,표본40!$H$2:$H$41,"완화")</f>
        <v>1</v>
      </c>
      <c r="H5" s="15">
        <f>IF($F5=0,0,$G5/$F5)</f>
        <v>0.1</v>
      </c>
      <c r="I5" s="16">
        <f>$C5+$D5*$H5</f>
        <v>70.900000000000006</v>
      </c>
      <c r="J5" s="17">
        <f>ROUND($B5/$E5*1000,2)</f>
        <v>5.91</v>
      </c>
      <c r="K5" s="17">
        <f>ROUND($I5/$E5*1000,2)</f>
        <v>12.32</v>
      </c>
      <c r="L5" s="18">
        <f>ROUND($J5/$K5,3)</f>
        <v>0.48</v>
      </c>
    </row>
    <row r="6" spans="1:12">
      <c r="A6" s="12" t="s">
        <v>60</v>
      </c>
      <c r="B6" s="13">
        <v>168</v>
      </c>
      <c r="C6" s="13">
        <v>134</v>
      </c>
      <c r="D6" s="13">
        <v>142</v>
      </c>
      <c r="E6" s="13">
        <v>26883</v>
      </c>
      <c r="F6" s="13">
        <v>20</v>
      </c>
      <c r="G6" s="14">
        <f>COUNTIFS(표본40!$B$2:$B$41,$A6,표본40!$H$2:$H$41,"완화")</f>
        <v>0</v>
      </c>
      <c r="H6" s="15">
        <f>IF($F6=0,0,$G6/$F6)</f>
        <v>0</v>
      </c>
      <c r="I6" s="16">
        <f>$C6+$D6*$H6</f>
        <v>134</v>
      </c>
      <c r="J6" s="17">
        <f>ROUND($B6/$E6*1000,2)</f>
        <v>6.25</v>
      </c>
      <c r="K6" s="17">
        <f>ROUND($I6/$E6*1000,2)</f>
        <v>4.9800000000000004</v>
      </c>
      <c r="L6" s="18">
        <f>ROUND($J6/$K6,3)</f>
        <v>1.2549999999999999</v>
      </c>
    </row>
    <row r="7" spans="1:12">
      <c r="A7" s="12" t="s">
        <v>115</v>
      </c>
      <c r="B7" s="13">
        <v>113</v>
      </c>
      <c r="C7" s="13">
        <v>127</v>
      </c>
      <c r="D7" s="13">
        <v>67</v>
      </c>
      <c r="E7" s="13">
        <v>18783</v>
      </c>
      <c r="F7" s="13">
        <v>10</v>
      </c>
      <c r="G7" s="14">
        <f>COUNTIFS(표본40!$B$2:$B$41,$A7,표본40!$H$2:$H$41,"완화")</f>
        <v>1</v>
      </c>
      <c r="H7" s="15">
        <f>IF($F7=0,0,$G7/$F7)</f>
        <v>0.1</v>
      </c>
      <c r="I7" s="16">
        <f>$C7+$D7*$H7</f>
        <v>133.69999999999999</v>
      </c>
      <c r="J7" s="17">
        <f>ROUND($B7/$E7*1000,2)</f>
        <v>6.02</v>
      </c>
      <c r="K7" s="17">
        <f>ROUND($I7/$E7*1000,2)</f>
        <v>7.12</v>
      </c>
      <c r="L7" s="18">
        <f>ROUND($J7/$K7,3)</f>
        <v>0.84599999999999997</v>
      </c>
    </row>
    <row r="9" spans="1:12">
      <c r="A9" s="19" t="s">
        <v>162</v>
      </c>
    </row>
    <row r="10" spans="1:12">
      <c r="A10" s="20" t="s">
        <v>163</v>
      </c>
      <c r="D10" s="21" t="str">
        <f>IF(MAX(L5:L7)&lt;1,"성립(셋 다 &lt;1)","깨짐(≥1 존재)")</f>
        <v>깨짐(≥1 존재)</v>
      </c>
    </row>
    <row r="11" spans="1:12">
      <c r="A11" s="20" t="s">
        <v>164</v>
      </c>
      <c r="D11" s="21" t="str">
        <f>IF(AND(L5&lt;L6,L5&lt;L7),"성립(박 최저)","서열 변동")</f>
        <v>성립(박 최저)</v>
      </c>
    </row>
    <row r="13" spans="1:12">
      <c r="A13" s="22" t="s">
        <v>165</v>
      </c>
    </row>
  </sheetData>
  <phoneticPr fontId="1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지침</vt:lpstr>
      <vt:lpstr>표본40</vt:lpstr>
      <vt:lpstr>집계(BHR추정)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ByeongJoo LEE</cp:lastModifiedBy>
  <dcterms:created xsi:type="dcterms:W3CDTF">2026-06-21T12:12:10Z</dcterms:created>
  <dcterms:modified xsi:type="dcterms:W3CDTF">2026-06-21T12:24:37Z</dcterms:modified>
</cp:coreProperties>
</file>